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undamentals" sheetId="2" state="visible" r:id="rId2"/>
    <sheet xmlns:r="http://schemas.openxmlformats.org/officeDocument/2006/relationships" name="Sentiment" sheetId="3" state="visible" r:id="rId3"/>
    <sheet xmlns:r="http://schemas.openxmlformats.org/officeDocument/2006/relationships" name="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;[Red](&quot;$&quot;#,##0.00)"/>
    <numFmt numFmtId="166" formatCode="0.00%;[Red](0.00%)"/>
    <numFmt numFmtId="167" formatCode="&quot;$&quot;#,##0,,,&quot;B&quot;"/>
    <numFmt numFmtId="168" formatCode="0.00&quot;x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sz val="11"/>
    </font>
    <font>
      <name val="Arial"/>
      <b val="1"/>
      <color rgb="00006100"/>
      <sz val="11"/>
    </font>
    <font>
      <name val="Arial"/>
      <b val="1"/>
      <color rgb="00FFFFFF"/>
      <sz val="11"/>
    </font>
    <font>
      <name val="Arial"/>
      <i val="1"/>
      <color rgb="00666666"/>
      <sz val="9"/>
    </font>
    <font>
      <name val="Arial"/>
      <b val="1"/>
      <color rgb="009C0006"/>
      <sz val="11"/>
    </font>
    <font>
      <name val="Arial"/>
      <b val="1"/>
      <color rgb="009C5700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left" vertical="center" wrapText="1"/>
    </xf>
    <xf numFmtId="10" fontId="3" fillId="0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  <xf numFmtId="168" fontId="3" fillId="0" borderId="1" applyAlignment="1" pivotButton="0" quotePrefix="0" xfId="0">
      <alignment horizontal="right" vertical="center"/>
    </xf>
    <xf numFmtId="49" fontId="3" fillId="0" borderId="1" applyAlignment="1" pivotButton="0" quotePrefix="0" xfId="0">
      <alignment horizontal="right" vertical="center"/>
    </xf>
    <xf numFmtId="0" fontId="3" fillId="0" borderId="1" pivotButton="0" quotePrefix="0" xfId="0"/>
    <xf numFmtId="0" fontId="6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2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AAPL vs SPY vs QQQ  —  Daily % Change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'Dashboard'!$A$10:$A$12</f>
            </numRef>
          </cat>
          <val>
            <numRef>
              <f>'Dashboard'!$E$10:$E$12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Ticker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Daily % Change</a:t>
                </a:r>
              </a:p>
            </rich>
          </tx>
        </title>
        <numFmt formatCode="0.0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20" customWidth="1" min="4" max="4"/>
    <col width="20" customWidth="1" min="5" max="5"/>
    <col width="14" customWidth="1" min="6" max="6"/>
  </cols>
  <sheetData>
    <row r="1" ht="28" customHeight="1">
      <c r="A1" s="1" t="inlineStr">
        <is>
          <t>AAPL Monitor  —  Dashboard</t>
        </is>
      </c>
    </row>
    <row r="3">
      <c r="A3" s="2" t="inlineStr">
        <is>
          <t>Report Date</t>
        </is>
      </c>
      <c r="B3" s="3" t="inlineStr">
        <is>
          <t>2026-07-26</t>
        </is>
      </c>
      <c r="D3" s="2" t="inlineStr">
        <is>
          <t>Price</t>
        </is>
      </c>
      <c r="E3" s="4" t="n">
        <v>333.8</v>
      </c>
    </row>
    <row r="4">
      <c r="A4" s="2" t="inlineStr">
        <is>
          <t>Report Time (ET)</t>
        </is>
      </c>
      <c r="B4" s="3" t="inlineStr">
        <is>
          <t>Pre-market snapshot</t>
        </is>
      </c>
      <c r="D4" s="2" t="inlineStr">
        <is>
          <t>Daily Change ($)</t>
        </is>
      </c>
      <c r="E4" s="5" t="n">
        <v>11.36</v>
      </c>
    </row>
    <row r="5">
      <c r="A5" s="2" t="inlineStr">
        <is>
          <t>Ticker</t>
        </is>
      </c>
      <c r="B5" s="3" t="inlineStr">
        <is>
          <t>AAPL</t>
        </is>
      </c>
      <c r="D5" s="2" t="inlineStr">
        <is>
          <t>Daily Change (%)</t>
        </is>
      </c>
      <c r="E5" s="6" t="n">
        <v>0.0353</v>
      </c>
    </row>
    <row r="6">
      <c r="A6" s="2" t="inlineStr">
        <is>
          <t>Overall Sentiment</t>
        </is>
      </c>
      <c r="B6" s="7" t="inlineStr">
        <is>
          <t>BULLISH</t>
        </is>
      </c>
      <c r="D6" s="2" t="inlineStr">
        <is>
          <t>Month-to-Date %</t>
        </is>
      </c>
      <c r="E6" s="6" t="n">
        <v>0.152</v>
      </c>
    </row>
    <row r="8" ht="28" customHeight="1">
      <c r="A8" s="1" t="inlineStr">
        <is>
          <t>Benchmark Comparison — Daily % Change</t>
        </is>
      </c>
    </row>
    <row r="9">
      <c r="A9" s="8" t="inlineStr">
        <is>
          <t>Ticker</t>
        </is>
      </c>
      <c r="B9" s="8" t="inlineStr">
        <is>
          <t>Name</t>
        </is>
      </c>
      <c r="C9" s="8" t="inlineStr">
        <is>
          <t>Price</t>
        </is>
      </c>
      <c r="D9" s="8" t="inlineStr">
        <is>
          <t>Daily Change ($)</t>
        </is>
      </c>
      <c r="E9" s="8" t="inlineStr">
        <is>
          <t>Daily Change (%)</t>
        </is>
      </c>
      <c r="F9" s="8" t="inlineStr">
        <is>
          <t>MTD %</t>
        </is>
      </c>
    </row>
    <row r="10">
      <c r="A10" s="9" t="inlineStr">
        <is>
          <t>AAPL</t>
        </is>
      </c>
      <c r="B10" s="3" t="inlineStr">
        <is>
          <t>Apple Inc.</t>
        </is>
      </c>
      <c r="C10" s="10" t="n">
        <v>333.8</v>
      </c>
      <c r="D10" s="11" t="n">
        <v>11.36</v>
      </c>
      <c r="E10" s="12" t="n">
        <v>0.0353</v>
      </c>
      <c r="F10" s="12" t="n">
        <v>0.152</v>
      </c>
    </row>
    <row r="11">
      <c r="A11" s="9" t="inlineStr">
        <is>
          <t>SPY</t>
        </is>
      </c>
      <c r="B11" s="3" t="inlineStr">
        <is>
          <t>S&amp;P 500 ETF</t>
        </is>
      </c>
      <c r="C11" s="10" t="n">
        <v>740.83</v>
      </c>
      <c r="D11" s="11" t="n">
        <v>2.66</v>
      </c>
      <c r="E11" s="12" t="n">
        <v>0.0036</v>
      </c>
      <c r="F11" s="13" t="inlineStr">
        <is>
          <t>n/a</t>
        </is>
      </c>
    </row>
    <row r="12">
      <c r="A12" s="9" t="inlineStr">
        <is>
          <t>QQQ</t>
        </is>
      </c>
      <c r="B12" s="3" t="inlineStr">
        <is>
          <t>Nasdaq 100 ETF</t>
        </is>
      </c>
      <c r="C12" s="10" t="n">
        <v>693.9400000000001</v>
      </c>
      <c r="D12" s="11" t="n">
        <v>2</v>
      </c>
      <c r="E12" s="12" t="n">
        <v>0.0029</v>
      </c>
      <c r="F12" s="13" t="inlineStr">
        <is>
          <t>n/a</t>
        </is>
      </c>
    </row>
    <row r="32">
      <c r="A32" s="14" t="inlineStr">
        <is>
          <t>Notes:</t>
        </is>
      </c>
    </row>
    <row r="33">
      <c r="A33" s="15" t="inlineStr">
        <is>
          <t>Price snapshot as of 2026-07-26 (pre-market / early session data). AAPL up ~15% MTD — best month in nearly 4 years. China CAC approval of Apple Intelligence removed the biggest overhang; Q3 FY26 earnings on 2026-07-30.</t>
        </is>
      </c>
    </row>
    <row r="34"/>
    <row r="35"/>
  </sheetData>
  <mergeCells count="3">
    <mergeCell ref="A8:F8"/>
    <mergeCell ref="A1:F1"/>
    <mergeCell ref="A33:F3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6" customWidth="1" min="4" max="4"/>
  </cols>
  <sheetData>
    <row r="1" ht="28" customHeight="1">
      <c r="A1" s="1" t="inlineStr">
        <is>
          <t>AAPL Fundamentals &amp; Key Metrics</t>
        </is>
      </c>
    </row>
    <row r="3">
      <c r="A3" s="8" t="inlineStr">
        <is>
          <t>Metric</t>
        </is>
      </c>
      <c r="B3" s="8" t="inlineStr">
        <is>
          <t>Value</t>
        </is>
      </c>
      <c r="C3" s="8" t="inlineStr">
        <is>
          <t>Unit / Note</t>
        </is>
      </c>
      <c r="D3" s="8" t="inlineStr">
        <is>
          <t>Source</t>
        </is>
      </c>
    </row>
    <row r="4">
      <c r="A4" s="2" t="inlineStr">
        <is>
          <t>Price</t>
        </is>
      </c>
      <c r="B4" s="4" t="n">
        <v>333.8</v>
      </c>
      <c r="C4" s="3" t="inlineStr">
        <is>
          <t>USD</t>
        </is>
      </c>
      <c r="D4" s="16" t="inlineStr">
        <is>
          <t>HeyGoTrade / CNBC</t>
        </is>
      </c>
    </row>
    <row r="5">
      <c r="A5" s="2" t="inlineStr">
        <is>
          <t>Daily Change</t>
        </is>
      </c>
      <c r="B5" s="4" t="n">
        <v>11.36</v>
      </c>
      <c r="C5" s="3" t="inlineStr">
        <is>
          <t>USD</t>
        </is>
      </c>
      <c r="D5" s="16" t="inlineStr">
        <is>
          <t>HeyGoTrade / CNBC</t>
        </is>
      </c>
    </row>
    <row r="6">
      <c r="A6" s="2" t="inlineStr">
        <is>
          <t>Daily Change %</t>
        </is>
      </c>
      <c r="B6" s="17" t="n">
        <v>0.0353</v>
      </c>
      <c r="C6" s="3" t="inlineStr">
        <is>
          <t>Percent</t>
        </is>
      </c>
      <c r="D6" s="16" t="inlineStr">
        <is>
          <t>HeyGoTrade</t>
        </is>
      </c>
    </row>
    <row r="7">
      <c r="A7" s="2" t="inlineStr">
        <is>
          <t>Market Cap</t>
        </is>
      </c>
      <c r="B7" s="18" t="n">
        <v>4890000000000</v>
      </c>
      <c r="C7" s="3" t="inlineStr">
        <is>
          <t>USD (Trillions)</t>
        </is>
      </c>
      <c r="D7" s="16" t="inlineStr">
        <is>
          <t>HeyGoTrade</t>
        </is>
      </c>
    </row>
    <row r="8">
      <c r="A8" s="2" t="inlineStr">
        <is>
          <t>P/E Ratio (TTM)</t>
        </is>
      </c>
      <c r="B8" s="19" t="n">
        <v>40.31</v>
      </c>
      <c r="C8" s="3" t="inlineStr">
        <is>
          <t>Trailing</t>
        </is>
      </c>
      <c r="D8" s="16" t="inlineStr">
        <is>
          <t>HeyGoTrade</t>
        </is>
      </c>
    </row>
    <row r="9">
      <c r="A9" s="2" t="inlineStr">
        <is>
          <t>Intraday Low (7/25)</t>
        </is>
      </c>
      <c r="B9" s="4" t="n">
        <v>321.55</v>
      </c>
      <c r="C9" s="3" t="inlineStr">
        <is>
          <t>USD</t>
        </is>
      </c>
      <c r="D9" s="16" t="inlineStr">
        <is>
          <t>HeyGoTrade</t>
        </is>
      </c>
    </row>
    <row r="10">
      <c r="A10" s="2" t="inlineStr">
        <is>
          <t>Intraday High (7/25)</t>
        </is>
      </c>
      <c r="B10" s="4" t="n">
        <v>334.37</v>
      </c>
      <c r="C10" s="3" t="inlineStr">
        <is>
          <t>USD</t>
        </is>
      </c>
      <c r="D10" s="16" t="inlineStr">
        <is>
          <t>HeyGoTrade</t>
        </is>
      </c>
    </row>
    <row r="11">
      <c r="A11" s="2" t="inlineStr">
        <is>
          <t>MTD Performance</t>
        </is>
      </c>
      <c r="B11" s="17" t="n">
        <v>0.152</v>
      </c>
      <c r="C11" s="3" t="inlineStr">
        <is>
          <t>% return in July</t>
        </is>
      </c>
      <c r="D11" s="16" t="inlineStr">
        <is>
          <t>Yahoo Finance</t>
        </is>
      </c>
    </row>
    <row r="12">
      <c r="A12" s="2" t="inlineStr">
        <is>
          <t>Next Earnings Date</t>
        </is>
      </c>
      <c r="B12" s="20" t="inlineStr">
        <is>
          <t>2026-07-30</t>
        </is>
      </c>
      <c r="C12" s="3" t="inlineStr">
        <is>
          <t>Q3 FY26</t>
        </is>
      </c>
      <c r="D12" s="16" t="inlineStr">
        <is>
          <t>Finance Calendar</t>
        </is>
      </c>
    </row>
    <row r="13">
      <c r="A13" s="2" t="inlineStr">
        <is>
          <t>EPS Consensus (Q3)</t>
        </is>
      </c>
      <c r="B13" s="4" t="n">
        <v>1.93</v>
      </c>
      <c r="C13" s="3" t="inlineStr">
        <is>
          <t>USD</t>
        </is>
      </c>
      <c r="D13" s="16" t="inlineStr">
        <is>
          <t>TipRanks</t>
        </is>
      </c>
    </row>
    <row r="14">
      <c r="A14" s="2" t="inlineStr">
        <is>
          <t>Revenue Consensus (Q3)</t>
        </is>
      </c>
      <c r="B14" s="18" t="n">
        <v>110750000000</v>
      </c>
      <c r="C14" s="3" t="inlineStr">
        <is>
          <t>USD (Billions)</t>
        </is>
      </c>
      <c r="D14" s="16" t="inlineStr">
        <is>
          <t>TipRanks</t>
        </is>
      </c>
    </row>
    <row r="15">
      <c r="A15" s="2" t="inlineStr">
        <is>
          <t>Intraday Range Spread</t>
        </is>
      </c>
      <c r="B15" s="4">
        <f>B10-B9</f>
        <v/>
      </c>
      <c r="C15" s="21" t="inlineStr">
        <is>
          <t>USD, High − Low</t>
        </is>
      </c>
      <c r="D15" s="22" t="inlineStr">
        <is>
          <t>Calculated</t>
        </is>
      </c>
    </row>
    <row r="17">
      <c r="A17" s="14" t="inlineStr">
        <is>
          <t>Note:</t>
        </is>
      </c>
    </row>
    <row r="18">
      <c r="A18" s="15" t="inlineStr">
        <is>
          <t>Full 52-week range not published in the sources cited for this snapshot. The 7/25 intraday range (321.55 – 334.37) is shown instead; a Bloomberg / Yahoo pull will populate the true 52-wk high/low.</t>
        </is>
      </c>
    </row>
    <row r="19"/>
  </sheetData>
  <mergeCells count="2">
    <mergeCell ref="A1:D1"/>
    <mergeCell ref="A18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  <col width="16" customWidth="1" min="4" max="4"/>
    <col width="14" customWidth="1" min="5" max="5"/>
  </cols>
  <sheetData>
    <row r="1" ht="28" customHeight="1">
      <c r="A1" s="1" t="inlineStr">
        <is>
          <t>AAPL Sentiment — Analyst + Social</t>
        </is>
      </c>
    </row>
    <row r="3">
      <c r="A3" s="8" t="inlineStr">
        <is>
          <t>Metric</t>
        </is>
      </c>
      <c r="B3" s="8" t="inlineStr">
        <is>
          <t>Value</t>
        </is>
      </c>
      <c r="C3" s="8" t="inlineStr">
        <is>
          <t>Detail</t>
        </is>
      </c>
    </row>
    <row r="4">
      <c r="A4" s="2" t="inlineStr">
        <is>
          <t>Consensus Rating</t>
        </is>
      </c>
      <c r="B4" s="7" t="inlineStr">
        <is>
          <t>BUY</t>
        </is>
      </c>
      <c r="C4" s="3" t="inlineStr">
        <is>
          <t>60% Buy / 34% Hold / 6% Sell (47 analysts)</t>
        </is>
      </c>
    </row>
    <row r="5">
      <c r="A5" s="2" t="inlineStr">
        <is>
          <t>Average PT (low est.)</t>
        </is>
      </c>
      <c r="B5" s="23" t="inlineStr">
        <is>
          <t>$311.05</t>
        </is>
      </c>
      <c r="C5" s="3" t="inlineStr">
        <is>
          <t>Wall Street average</t>
        </is>
      </c>
    </row>
    <row r="6">
      <c r="A6" s="2" t="inlineStr">
        <is>
          <t>Average PT (mid est.)</t>
        </is>
      </c>
      <c r="B6" s="23" t="inlineStr">
        <is>
          <t>$322.71</t>
        </is>
      </c>
      <c r="C6" s="3" t="inlineStr">
        <is>
          <t>55-analyst pool</t>
        </is>
      </c>
    </row>
    <row r="7">
      <c r="A7" s="2" t="inlineStr">
        <is>
          <t>Average PT (Public)</t>
        </is>
      </c>
      <c r="B7" s="23" t="inlineStr">
        <is>
          <t>$315.00</t>
        </is>
      </c>
      <c r="C7" s="3" t="inlineStr">
        <is>
          <t>12-month target</t>
        </is>
      </c>
    </row>
    <row r="8">
      <c r="A8" s="2" t="inlineStr">
        <is>
          <t>Upside vs Spot</t>
        </is>
      </c>
      <c r="B8" s="23" t="inlineStr">
        <is>
          <t>-3% to -6%</t>
        </is>
      </c>
      <c r="C8" s="3" t="inlineStr">
        <is>
          <t>Spot ~$333.80 has run past most PTs</t>
        </is>
      </c>
    </row>
    <row r="10">
      <c r="A10" s="14" t="inlineStr">
        <is>
          <t>Recent Rating Actions</t>
        </is>
      </c>
    </row>
    <row r="11">
      <c r="A11" s="8" t="inlineStr">
        <is>
          <t>Firm</t>
        </is>
      </c>
      <c r="B11" s="8" t="inlineStr">
        <is>
          <t>Action</t>
        </is>
      </c>
      <c r="C11" s="8" t="inlineStr">
        <is>
          <t>New PT</t>
        </is>
      </c>
      <c r="D11" s="8" t="inlineStr">
        <is>
          <t>Old PT</t>
        </is>
      </c>
      <c r="E11" s="8" t="inlineStr">
        <is>
          <t>Impact</t>
        </is>
      </c>
    </row>
    <row r="12">
      <c r="A12" s="24" t="inlineStr">
        <is>
          <t>Morgan Stanley</t>
        </is>
      </c>
      <c r="B12" s="3" t="inlineStr">
        <is>
          <t>Raised PT</t>
        </is>
      </c>
      <c r="C12" s="23" t="inlineStr">
        <is>
          <t>$364</t>
        </is>
      </c>
      <c r="D12" s="23" t="inlineStr">
        <is>
          <t>$360</t>
        </is>
      </c>
      <c r="E12" s="7" t="inlineStr">
        <is>
          <t>Positive</t>
        </is>
      </c>
    </row>
    <row r="13">
      <c r="A13" s="24" t="inlineStr">
        <is>
          <t>Baird</t>
        </is>
      </c>
      <c r="B13" s="3" t="inlineStr">
        <is>
          <t>Raised PT</t>
        </is>
      </c>
      <c r="C13" s="23" t="inlineStr">
        <is>
          <t>$330</t>
        </is>
      </c>
      <c r="D13" s="23" t="inlineStr">
        <is>
          <t>$310</t>
        </is>
      </c>
      <c r="E13" s="7" t="inlineStr">
        <is>
          <t>Positive</t>
        </is>
      </c>
    </row>
    <row r="14">
      <c r="A14" s="24" t="inlineStr">
        <is>
          <t>HSBC</t>
        </is>
      </c>
      <c r="B14" s="3" t="inlineStr">
        <is>
          <t>Reiterated bullish (~+10% upside)</t>
        </is>
      </c>
      <c r="C14" s="23" t="inlineStr">
        <is>
          <t>n/a</t>
        </is>
      </c>
      <c r="D14" s="23" t="inlineStr">
        <is>
          <t>n/a</t>
        </is>
      </c>
      <c r="E14" s="7" t="inlineStr">
        <is>
          <t>Positive</t>
        </is>
      </c>
    </row>
    <row r="15">
      <c r="A15" s="24" t="inlineStr">
        <is>
          <t>KGI Securities</t>
        </is>
      </c>
      <c r="B15" s="3" t="inlineStr">
        <is>
          <t>Downgraded to Hold from Outperform</t>
        </is>
      </c>
      <c r="C15" s="23" t="inlineStr">
        <is>
          <t>n/a</t>
        </is>
      </c>
      <c r="D15" s="23" t="inlineStr">
        <is>
          <t>n/a</t>
        </is>
      </c>
      <c r="E15" s="25" t="inlineStr">
        <is>
          <t>Negative</t>
        </is>
      </c>
    </row>
    <row r="18">
      <c r="A18" s="14" t="inlineStr">
        <is>
          <t>Social / Retail Sentiment</t>
        </is>
      </c>
    </row>
    <row r="19">
      <c r="A19" s="8" t="inlineStr">
        <is>
          <t>Platform</t>
        </is>
      </c>
      <c r="B19" s="8" t="inlineStr">
        <is>
          <t>Signal</t>
        </is>
      </c>
      <c r="C19" s="8" t="inlineStr">
        <is>
          <t>Reading</t>
        </is>
      </c>
      <c r="D19" s="8" t="inlineStr">
        <is>
          <t>Impact</t>
        </is>
      </c>
    </row>
    <row r="20">
      <c r="A20" s="24" t="inlineStr">
        <is>
          <t>Stocktwits</t>
        </is>
      </c>
      <c r="B20" s="3" t="inlineStr">
        <is>
          <t>Sentiment tag</t>
        </is>
      </c>
      <c r="C20" s="3" t="inlineStr">
        <is>
          <t>Bullish, trending up WoW</t>
        </is>
      </c>
      <c r="D20" s="7" t="inlineStr">
        <is>
          <t>Positive</t>
        </is>
      </c>
    </row>
    <row r="21">
      <c r="A21" s="24" t="inlineStr">
        <is>
          <t>Stocktwits</t>
        </is>
      </c>
      <c r="B21" s="3" t="inlineStr">
        <is>
          <t>Chatter volume</t>
        </is>
      </c>
      <c r="C21" s="3" t="inlineStr">
        <is>
          <t>+242% WoW, +580% MoM</t>
        </is>
      </c>
      <c r="D21" s="7" t="inlineStr">
        <is>
          <t>Positive</t>
        </is>
      </c>
    </row>
    <row r="22">
      <c r="A22" s="24" t="inlineStr">
        <is>
          <t>Reddit</t>
        </is>
      </c>
      <c r="B22" s="3" t="inlineStr">
        <is>
          <t>Sentiment score</t>
        </is>
      </c>
      <c r="C22" s="3" t="inlineStr">
        <is>
          <t>61 / 100 (neutral-positive)</t>
        </is>
      </c>
      <c r="D22" s="26" t="inlineStr">
        <is>
          <t>Neutral</t>
        </is>
      </c>
    </row>
    <row r="23">
      <c r="A23" s="24" t="inlineStr">
        <is>
          <t>Reddit</t>
        </is>
      </c>
      <c r="B23" s="3" t="inlineStr">
        <is>
          <t>Mentions</t>
        </is>
      </c>
      <c r="C23" s="3" t="inlineStr">
        <is>
          <t>~188 per day</t>
        </is>
      </c>
      <c r="D23" s="26" t="inlineStr">
        <is>
          <t>Neutral</t>
        </is>
      </c>
    </row>
    <row r="24">
      <c r="A24" s="24" t="inlineStr">
        <is>
          <t>Retail narrative</t>
        </is>
      </c>
      <c r="B24" s="3" t="inlineStr">
        <is>
          <t>Theme</t>
        </is>
      </c>
      <c r="C24" s="3" t="inlineStr">
        <is>
          <t>AAPL as 'safe haven' vs tech rout; China AI approval euphoria</t>
        </is>
      </c>
      <c r="D24" s="7" t="inlineStr">
        <is>
          <t>Positive</t>
        </is>
      </c>
    </row>
    <row r="25">
      <c r="A25" s="24" t="inlineStr">
        <is>
          <t>WWDC 2026 lingering</t>
        </is>
      </c>
      <c r="B25" s="3" t="inlineStr">
        <is>
          <t>Concern</t>
        </is>
      </c>
      <c r="C25" s="3" t="inlineStr">
        <is>
          <t>No firm Siri AI ship-date — now overshadowed by China AI approval</t>
        </is>
      </c>
      <c r="D25" s="26" t="inlineStr">
        <is>
          <t>Neutral</t>
        </is>
      </c>
    </row>
    <row r="27" ht="40" customHeight="1">
      <c r="A27" s="14" t="inlineStr">
        <is>
          <t>Overall Mood</t>
        </is>
      </c>
      <c r="B27" s="7" t="inlineStr">
        <is>
          <t>BULLISH</t>
        </is>
      </c>
      <c r="C27" s="27" t="inlineStr">
        <is>
          <t>China AI approval + iPhone 17 demand + price hikes drive positive tone. Watch for post-earnings gap risk (7/30) — spot has run past average PTs.</t>
        </is>
      </c>
    </row>
  </sheetData>
  <mergeCells count="2">
    <mergeCell ref="A1:F1"/>
    <mergeCell ref="C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3" customWidth="1" min="1" max="1"/>
    <col width="62" customWidth="1" min="2" max="2"/>
    <col width="26" customWidth="1" min="3" max="3"/>
    <col width="22" customWidth="1" min="4" max="4"/>
    <col width="14" customWidth="1" min="5" max="5"/>
  </cols>
  <sheetData>
    <row r="1" ht="28" customHeight="1">
      <c r="A1" s="1" t="inlineStr">
        <is>
          <t>AAPL News — last 24-72 hours</t>
        </is>
      </c>
    </row>
    <row r="3">
      <c r="A3" s="8" t="inlineStr">
        <is>
          <t>Date</t>
        </is>
      </c>
      <c r="B3" s="8" t="inlineStr">
        <is>
          <t>Headline</t>
        </is>
      </c>
      <c r="C3" s="8" t="inlineStr">
        <is>
          <t>Source</t>
        </is>
      </c>
      <c r="D3" s="8" t="inlineStr">
        <is>
          <t>Category</t>
        </is>
      </c>
      <c r="E3" s="8" t="inlineStr">
        <is>
          <t>Impact</t>
        </is>
      </c>
    </row>
    <row r="4" ht="30" customHeight="1">
      <c r="A4" s="23" t="inlineStr">
        <is>
          <t>2026-07-24</t>
        </is>
      </c>
      <c r="B4" s="3" t="inlineStr">
        <is>
          <t>China (CAC) approves Apple Intelligence for rollout — removes biggest regulatory overhang</t>
        </is>
      </c>
      <c r="C4" s="3" t="inlineStr">
        <is>
          <t>Yahoo Finance / Stocktwits</t>
        </is>
      </c>
      <c r="D4" s="3" t="inlineStr">
        <is>
          <t>Regulatory / AI</t>
        </is>
      </c>
      <c r="E4" s="7" t="inlineStr">
        <is>
          <t>Positive</t>
        </is>
      </c>
    </row>
    <row r="5" ht="30" customHeight="1">
      <c r="A5" s="23" t="inlineStr">
        <is>
          <t>2026-07-25</t>
        </is>
      </c>
      <c r="B5" s="3" t="inlineStr">
        <is>
          <t>AAPL hits fresh record — July on pace for best month in ~4 years; HSBC sees +10% further upside</t>
        </is>
      </c>
      <c r="C5" s="3" t="inlineStr">
        <is>
          <t>Yahoo Finance</t>
        </is>
      </c>
      <c r="D5" s="3" t="inlineStr">
        <is>
          <t>Price Action</t>
        </is>
      </c>
      <c r="E5" s="7" t="inlineStr">
        <is>
          <t>Positive</t>
        </is>
      </c>
    </row>
    <row r="6" ht="30" customHeight="1">
      <c r="A6" s="23" t="inlineStr">
        <is>
          <t>2026-07-22</t>
        </is>
      </c>
      <c r="B6" s="3" t="inlineStr">
        <is>
          <t>Morgan Stanley raises AAPL PT to $364 from $360</t>
        </is>
      </c>
      <c r="C6" s="3" t="inlineStr">
        <is>
          <t>Sell-side note</t>
        </is>
      </c>
      <c r="D6" s="3" t="inlineStr">
        <is>
          <t>Analyst</t>
        </is>
      </c>
      <c r="E6" s="7" t="inlineStr">
        <is>
          <t>Positive</t>
        </is>
      </c>
    </row>
    <row r="7" ht="30" customHeight="1">
      <c r="A7" s="23" t="inlineStr">
        <is>
          <t>2026-07-20</t>
        </is>
      </c>
      <c r="B7" s="3" t="inlineStr">
        <is>
          <t>Apple and US DOJ in early settlement talks on 2024 iPhone antitrust case</t>
        </is>
      </c>
      <c r="C7" s="3" t="inlineStr">
        <is>
          <t>MacRumors / Claims Journal</t>
        </is>
      </c>
      <c r="D7" s="3" t="inlineStr">
        <is>
          <t>Regulatory</t>
        </is>
      </c>
      <c r="E7" s="7" t="inlineStr">
        <is>
          <t>Positive</t>
        </is>
      </c>
    </row>
    <row r="8" ht="30" customHeight="1">
      <c r="A8" s="23" t="inlineStr">
        <is>
          <t>2026-07-18</t>
        </is>
      </c>
      <c r="B8" s="3" t="inlineStr">
        <is>
          <t>iPhone 17 demand tracking strong; Apple announced price hikes across several SKUs in late June</t>
        </is>
      </c>
      <c r="C8" s="3" t="inlineStr">
        <is>
          <t>CryptoDaily / trade press</t>
        </is>
      </c>
      <c r="D8" s="3" t="inlineStr">
        <is>
          <t>Product / Margin</t>
        </is>
      </c>
      <c r="E8" s="7" t="inlineStr">
        <is>
          <t>Positive</t>
        </is>
      </c>
    </row>
    <row r="9" ht="30" customHeight="1">
      <c r="A9" s="23" t="inlineStr">
        <is>
          <t>2026-07-15</t>
        </is>
      </c>
      <c r="B9" s="3" t="inlineStr">
        <is>
          <t>Services modeled +14% YoY, but App Store growth cooled to ~3.2% (from ~9.8%)</t>
        </is>
      </c>
      <c r="C9" s="3" t="inlineStr">
        <is>
          <t>Sell-side model</t>
        </is>
      </c>
      <c r="D9" s="3" t="inlineStr">
        <is>
          <t>Services</t>
        </is>
      </c>
      <c r="E9" s="26" t="inlineStr">
        <is>
          <t>Neutral</t>
        </is>
      </c>
    </row>
    <row r="10" ht="30" customHeight="1">
      <c r="A10" s="23" t="inlineStr">
        <is>
          <t>2026-07-08</t>
        </is>
      </c>
      <c r="B10" s="3" t="inlineStr">
        <is>
          <t>Apple loses EU General Court challenge — App Store &amp; iOS remain in DMA scope</t>
        </is>
      </c>
      <c r="C10" s="3" t="inlineStr">
        <is>
          <t>Bloomberg</t>
        </is>
      </c>
      <c r="D10" s="3" t="inlineStr">
        <is>
          <t>Regulatory</t>
        </is>
      </c>
      <c r="E10" s="25" t="inlineStr">
        <is>
          <t>Negative</t>
        </is>
      </c>
    </row>
    <row r="11" ht="30" customHeight="1">
      <c r="A11" s="23" t="inlineStr">
        <is>
          <t>2026-06-23</t>
        </is>
      </c>
      <c r="B11" s="3" t="inlineStr">
        <is>
          <t>48 China-based iOS developers file antitrust complaint over App Store commissions</t>
        </is>
      </c>
      <c r="C11" s="3" t="inlineStr">
        <is>
          <t>MacRumors</t>
        </is>
      </c>
      <c r="D11" s="3" t="inlineStr">
        <is>
          <t>Regulatory</t>
        </is>
      </c>
      <c r="E11" s="25" t="inlineStr">
        <is>
          <t>Negative</t>
        </is>
      </c>
    </row>
    <row r="12" ht="30" customHeight="1">
      <c r="A12" s="23" t="inlineStr">
        <is>
          <t>2026-07-30</t>
        </is>
      </c>
      <c r="B12" s="3" t="inlineStr">
        <is>
          <t>UPCOMING: Q3 FY26 earnings — Tim Cook's final call; consensus EPS $1.93, revenue $110.75B</t>
        </is>
      </c>
      <c r="C12" s="3" t="inlineStr">
        <is>
          <t>Finance Calendar</t>
        </is>
      </c>
      <c r="D12" s="3" t="inlineStr">
        <is>
          <t>Earnings</t>
        </is>
      </c>
      <c r="E12" s="26" t="inlineStr">
        <is>
          <t>Neutral</t>
        </is>
      </c>
    </row>
    <row r="15">
      <c r="A15" s="28" t="inlineStr">
        <is>
          <t>Impact Tally</t>
        </is>
      </c>
      <c r="B15" s="13" t="n"/>
    </row>
    <row r="16">
      <c r="A16" s="29" t="inlineStr">
        <is>
          <t>Positive</t>
        </is>
      </c>
      <c r="B16" s="13">
        <f>COUNTIF(E4:E12,"Positive")</f>
        <v/>
      </c>
    </row>
    <row r="17">
      <c r="A17" s="29" t="inlineStr">
        <is>
          <t>Negative</t>
        </is>
      </c>
      <c r="B17" s="13">
        <f>COUNTIF(E4:E12,"Negative")</f>
        <v/>
      </c>
    </row>
    <row r="18">
      <c r="A18" s="29" t="inlineStr">
        <is>
          <t>Neutral</t>
        </is>
      </c>
      <c r="B18" s="13">
        <f>COUNTIF(E4:E12,"Neutral")</f>
        <v/>
      </c>
    </row>
    <row r="19">
      <c r="A19" s="28" t="inlineStr">
        <is>
          <t>Total</t>
        </is>
      </c>
      <c r="B19" s="13">
        <f>SUM(B16:B18)</f>
        <v/>
      </c>
    </row>
    <row r="22">
      <c r="A22" s="14" t="inlineStr">
        <is>
          <t>Legend</t>
        </is>
      </c>
    </row>
    <row r="23">
      <c r="A23" s="7" t="inlineStr">
        <is>
          <t>Positive</t>
        </is>
      </c>
    </row>
    <row r="24">
      <c r="A24" s="26" t="inlineStr">
        <is>
          <t>Neutral</t>
        </is>
      </c>
    </row>
    <row r="25">
      <c r="A25" s="25" t="inlineStr">
        <is>
          <t>Negative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2026-07-26T15:03:53Z</dcterms:created>
  <dcterms:modified xmlns:dcterms="http://purl.org/dc/terms/" xmlns:xsi="http://www.w3.org/2001/XMLSchema-instance" xsi:type="dcterms:W3CDTF">2026-07-26T15:03:53Z</dcterms:modified>
</cp:coreProperties>
</file>